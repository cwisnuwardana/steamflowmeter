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nevirtualoffice-my.sharepoint.com/personal/cahyadi_wardana_suto-itec_com/Documents/Documents/CW/My Project/steamcalculator/data/"/>
    </mc:Choice>
  </mc:AlternateContent>
  <xr:revisionPtr revIDLastSave="176" documentId="11_CB4255BF57D2EF5B8B1E6947EC8FDE071DEB02E3" xr6:coauthVersionLast="47" xr6:coauthVersionMax="47" xr10:uidLastSave="{C47FF980-53D9-431F-914D-8C4E8B856162}"/>
  <bookViews>
    <workbookView xWindow="-108" yWindow="-108" windowWidth="23256" windowHeight="13896" xr2:uid="{00000000-000D-0000-FFFF-FFFF00000000}"/>
  </bookViews>
  <sheets>
    <sheet name="Flow_Rang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I18" i="2" s="1"/>
  <c r="K18" i="2" s="1"/>
  <c r="F18" i="2"/>
  <c r="H18" i="2" s="1"/>
  <c r="J18" i="2" s="1"/>
  <c r="G17" i="2"/>
  <c r="I17" i="2" s="1"/>
  <c r="K17" i="2" s="1"/>
  <c r="F17" i="2"/>
  <c r="H17" i="2" s="1"/>
  <c r="J17" i="2" s="1"/>
  <c r="G16" i="2"/>
  <c r="I16" i="2" s="1"/>
  <c r="K16" i="2" s="1"/>
  <c r="F16" i="2"/>
  <c r="H16" i="2" s="1"/>
  <c r="J16" i="2" s="1"/>
  <c r="G15" i="2"/>
  <c r="I15" i="2" s="1"/>
  <c r="K15" i="2" s="1"/>
  <c r="F15" i="2"/>
  <c r="H15" i="2" s="1"/>
  <c r="J15" i="2" s="1"/>
  <c r="I14" i="2"/>
  <c r="K14" i="2" s="1"/>
  <c r="H14" i="2"/>
  <c r="J14" i="2" s="1"/>
  <c r="G14" i="2"/>
  <c r="F14" i="2"/>
  <c r="G13" i="2"/>
  <c r="I13" i="2" s="1"/>
  <c r="K13" i="2" s="1"/>
  <c r="F13" i="2"/>
  <c r="H13" i="2" s="1"/>
  <c r="J13" i="2" s="1"/>
  <c r="G12" i="2"/>
  <c r="I12" i="2" s="1"/>
  <c r="K12" i="2" s="1"/>
  <c r="F12" i="2"/>
  <c r="H12" i="2" s="1"/>
  <c r="J12" i="2" s="1"/>
  <c r="G11" i="2"/>
  <c r="I11" i="2" s="1"/>
  <c r="K11" i="2" s="1"/>
  <c r="F11" i="2"/>
  <c r="H11" i="2" s="1"/>
  <c r="J11" i="2" s="1"/>
  <c r="G10" i="2"/>
  <c r="I10" i="2" s="1"/>
  <c r="K10" i="2" s="1"/>
  <c r="F10" i="2"/>
  <c r="H10" i="2" s="1"/>
  <c r="J10" i="2" s="1"/>
  <c r="G9" i="2"/>
  <c r="I9" i="2" s="1"/>
  <c r="K9" i="2" s="1"/>
  <c r="F9" i="2"/>
  <c r="H9" i="2" s="1"/>
  <c r="J9" i="2" s="1"/>
  <c r="G8" i="2"/>
  <c r="I8" i="2" s="1"/>
  <c r="K8" i="2" s="1"/>
  <c r="F8" i="2"/>
  <c r="H8" i="2" s="1"/>
  <c r="J8" i="2" s="1"/>
  <c r="I7" i="2"/>
  <c r="K7" i="2" s="1"/>
  <c r="H7" i="2"/>
  <c r="J7" i="2" s="1"/>
  <c r="G7" i="2"/>
  <c r="F7" i="2"/>
  <c r="G6" i="2"/>
  <c r="I6" i="2" s="1"/>
  <c r="K6" i="2" s="1"/>
  <c r="F6" i="2"/>
  <c r="H6" i="2" s="1"/>
  <c r="J6" i="2" s="1"/>
  <c r="G5" i="2"/>
  <c r="I5" i="2" s="1"/>
  <c r="K5" i="2" s="1"/>
  <c r="F5" i="2"/>
  <c r="H5" i="2" s="1"/>
  <c r="J5" i="2" s="1"/>
  <c r="G4" i="2"/>
  <c r="I4" i="2" s="1"/>
  <c r="K4" i="2" s="1"/>
  <c r="F4" i="2"/>
  <c r="H4" i="2" s="1"/>
  <c r="J4" i="2" s="1"/>
  <c r="G3" i="2"/>
  <c r="I3" i="2" s="1"/>
  <c r="K3" i="2" s="1"/>
  <c r="F3" i="2"/>
  <c r="H3" i="2" s="1"/>
  <c r="J3" i="2" s="1"/>
</calcChain>
</file>

<file path=xl/sharedStrings.xml><?xml version="1.0" encoding="utf-8"?>
<sst xmlns="http://schemas.openxmlformats.org/spreadsheetml/2006/main" count="178" uniqueCount="24">
  <si>
    <t>Pressure_MPa</t>
  </si>
  <si>
    <t>DN</t>
  </si>
  <si>
    <t>Min_tph</t>
  </si>
  <si>
    <t>Max_tph</t>
  </si>
  <si>
    <t>DN50</t>
  </si>
  <si>
    <t>DN65</t>
  </si>
  <si>
    <t>DN80</t>
  </si>
  <si>
    <t>DN100</t>
  </si>
  <si>
    <t>DN125</t>
  </si>
  <si>
    <t>DN150</t>
  </si>
  <si>
    <t>DN200</t>
  </si>
  <si>
    <t>DN250</t>
  </si>
  <si>
    <t>DN300</t>
  </si>
  <si>
    <t>DN25</t>
  </si>
  <si>
    <t>Diameter</t>
  </si>
  <si>
    <t>Pressure</t>
  </si>
  <si>
    <t>Density</t>
  </si>
  <si>
    <r>
      <rPr>
        <sz val="11"/>
        <color theme="1"/>
        <rFont val="Calibri"/>
        <family val="2"/>
        <scheme val="minor"/>
      </rPr>
      <t>Volume flow range</t>
    </r>
    <r>
      <rPr>
        <sz val="11"/>
        <rFont val="宋体"/>
        <charset val="134"/>
      </rPr>
      <t>（m³/h)</t>
    </r>
  </si>
  <si>
    <t>Mass flow range(Kg/h)</t>
  </si>
  <si>
    <t>Ton/h</t>
  </si>
  <si>
    <t>Min</t>
  </si>
  <si>
    <t>Max</t>
  </si>
  <si>
    <t>Min Velocity</t>
  </si>
  <si>
    <t>Max Velocity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</si>
</sst>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 "/>
    <numFmt numFmtId="168" formatCode="0.0000"/>
    <numFmt numFmtId="169" formatCode="0.000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</font>
    <font>
      <sz val="11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9" fontId="0" fillId="0" borderId="0" xfId="0" applyNumberFormat="1" applyBorder="1" applyAlignment="1">
      <alignment vertical="center"/>
    </xf>
    <xf numFmtId="168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69" fontId="0" fillId="0" borderId="0" xfId="0" applyNumberFormat="1" applyBorder="1" applyAlignment="1">
      <alignment horizontal="right" vertical="center"/>
    </xf>
    <xf numFmtId="169" fontId="0" fillId="0" borderId="0" xfId="0" applyNumberForma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1"/>
  <sheetViews>
    <sheetView tabSelected="1" workbookViewId="0">
      <selection activeCell="G20" sqref="G20"/>
    </sheetView>
  </sheetViews>
  <sheetFormatPr defaultRowHeight="14.4"/>
  <cols>
    <col min="1" max="1" width="13.109375" bestFit="1" customWidth="1"/>
    <col min="3" max="4" width="8.88671875" style="12"/>
    <col min="8" max="8" width="11.109375" style="3" bestFit="1" customWidth="1"/>
    <col min="9" max="9" width="11.5546875" style="3" bestFit="1" customWidth="1"/>
    <col min="10" max="12" width="8.88671875" style="3"/>
    <col min="13" max="13" width="10.6640625" customWidth="1"/>
    <col min="14" max="14" width="17.21875" customWidth="1"/>
    <col min="15" max="15" width="12.21875" customWidth="1"/>
    <col min="16" max="16" width="16.33203125" customWidth="1"/>
    <col min="17" max="18" width="9.5546875" bestFit="1" customWidth="1"/>
  </cols>
  <sheetData>
    <row r="1" spans="1:4">
      <c r="A1" s="1" t="s">
        <v>0</v>
      </c>
      <c r="B1" s="1" t="s">
        <v>1</v>
      </c>
      <c r="C1" s="9" t="s">
        <v>2</v>
      </c>
      <c r="D1" s="9" t="s">
        <v>3</v>
      </c>
    </row>
    <row r="2" spans="1:4">
      <c r="A2">
        <v>0.1</v>
      </c>
      <c r="B2" s="2" t="s">
        <v>13</v>
      </c>
      <c r="C2" s="10">
        <v>3.1262624999999996E-3</v>
      </c>
      <c r="D2" s="10">
        <v>5.2104375000000001E-2</v>
      </c>
    </row>
    <row r="3" spans="1:4">
      <c r="A3">
        <v>0.1</v>
      </c>
      <c r="B3" t="s">
        <v>4</v>
      </c>
      <c r="C3" s="11">
        <v>0.04</v>
      </c>
      <c r="D3" s="11">
        <v>0.35</v>
      </c>
    </row>
    <row r="4" spans="1:4">
      <c r="A4">
        <v>0.1</v>
      </c>
      <c r="B4" t="s">
        <v>5</v>
      </c>
      <c r="C4" s="11">
        <v>0.06</v>
      </c>
      <c r="D4" s="11">
        <v>0.6</v>
      </c>
    </row>
    <row r="5" spans="1:4">
      <c r="A5">
        <v>0.1</v>
      </c>
      <c r="B5" t="s">
        <v>6</v>
      </c>
      <c r="C5" s="11">
        <v>0.1</v>
      </c>
      <c r="D5" s="11">
        <v>0.9</v>
      </c>
    </row>
    <row r="6" spans="1:4">
      <c r="A6">
        <v>0.1</v>
      </c>
      <c r="B6" t="s">
        <v>7</v>
      </c>
      <c r="C6" s="11">
        <v>0.15</v>
      </c>
      <c r="D6" s="11">
        <v>1.41</v>
      </c>
    </row>
    <row r="7" spans="1:4">
      <c r="A7">
        <v>0.1</v>
      </c>
      <c r="B7" t="s">
        <v>8</v>
      </c>
      <c r="C7" s="11">
        <v>0.23</v>
      </c>
      <c r="D7" s="11">
        <v>2.2000000000000002</v>
      </c>
    </row>
    <row r="8" spans="1:4">
      <c r="A8">
        <v>0.1</v>
      </c>
      <c r="B8" t="s">
        <v>9</v>
      </c>
      <c r="C8" s="11">
        <v>0.33</v>
      </c>
      <c r="D8" s="11">
        <v>3.17</v>
      </c>
    </row>
    <row r="9" spans="1:4">
      <c r="A9">
        <v>0.1</v>
      </c>
      <c r="B9" t="s">
        <v>10</v>
      </c>
      <c r="C9" s="11">
        <v>0.6</v>
      </c>
      <c r="D9" s="11">
        <v>5.64</v>
      </c>
    </row>
    <row r="10" spans="1:4">
      <c r="A10">
        <v>0.1</v>
      </c>
      <c r="B10" t="s">
        <v>11</v>
      </c>
      <c r="C10" s="11">
        <v>0.93</v>
      </c>
      <c r="D10" s="11">
        <v>8.81</v>
      </c>
    </row>
    <row r="11" spans="1:4">
      <c r="A11">
        <v>0.1</v>
      </c>
      <c r="B11" t="s">
        <v>12</v>
      </c>
      <c r="C11" s="11">
        <v>1.34</v>
      </c>
      <c r="D11" s="11">
        <v>12.69</v>
      </c>
    </row>
    <row r="12" spans="1:4">
      <c r="A12">
        <v>0.2</v>
      </c>
      <c r="B12" t="s">
        <v>13</v>
      </c>
      <c r="C12" s="11">
        <v>5.9822887500000001E-3</v>
      </c>
      <c r="D12" s="11">
        <v>9.9704812500000017E-2</v>
      </c>
    </row>
    <row r="13" spans="1:4">
      <c r="A13">
        <v>0.2</v>
      </c>
      <c r="B13" t="s">
        <v>4</v>
      </c>
      <c r="C13" s="11">
        <v>0.04</v>
      </c>
      <c r="D13" s="11">
        <v>0.52</v>
      </c>
    </row>
    <row r="14" spans="1:4">
      <c r="A14">
        <v>0.2</v>
      </c>
      <c r="B14" t="s">
        <v>5</v>
      </c>
      <c r="C14" s="11">
        <v>0.08</v>
      </c>
      <c r="D14" s="11">
        <v>0.87</v>
      </c>
    </row>
    <row r="15" spans="1:4">
      <c r="A15">
        <v>0.2</v>
      </c>
      <c r="B15" t="s">
        <v>6</v>
      </c>
      <c r="C15" s="11">
        <v>0.12</v>
      </c>
      <c r="D15" s="11">
        <v>1.32</v>
      </c>
    </row>
    <row r="16" spans="1:4">
      <c r="A16">
        <v>0.2</v>
      </c>
      <c r="B16" t="s">
        <v>7</v>
      </c>
      <c r="C16" s="11">
        <v>0.18</v>
      </c>
      <c r="D16" s="11">
        <v>2.06</v>
      </c>
    </row>
    <row r="17" spans="1:4">
      <c r="A17">
        <v>0.2</v>
      </c>
      <c r="B17" t="s">
        <v>8</v>
      </c>
      <c r="C17" s="11">
        <v>0.28000000000000003</v>
      </c>
      <c r="D17" s="11">
        <v>3.22</v>
      </c>
    </row>
    <row r="18" spans="1:4">
      <c r="A18">
        <v>0.2</v>
      </c>
      <c r="B18" t="s">
        <v>9</v>
      </c>
      <c r="C18" s="11">
        <v>0.4</v>
      </c>
      <c r="D18" s="11">
        <v>4.6399999999999997</v>
      </c>
    </row>
    <row r="19" spans="1:4">
      <c r="A19">
        <v>0.2</v>
      </c>
      <c r="B19" t="s">
        <v>10</v>
      </c>
      <c r="C19" s="11">
        <v>0.72</v>
      </c>
      <c r="D19" s="11">
        <v>8.25</v>
      </c>
    </row>
    <row r="20" spans="1:4">
      <c r="A20">
        <v>0.2</v>
      </c>
      <c r="B20" t="s">
        <v>11</v>
      </c>
      <c r="C20" s="11">
        <v>1.1200000000000001</v>
      </c>
      <c r="D20" s="11">
        <v>12.88</v>
      </c>
    </row>
    <row r="21" spans="1:4">
      <c r="A21">
        <v>0.2</v>
      </c>
      <c r="B21" t="s">
        <v>12</v>
      </c>
      <c r="C21" s="11">
        <v>1.62</v>
      </c>
      <c r="D21" s="11">
        <v>18.55</v>
      </c>
    </row>
    <row r="22" spans="1:4">
      <c r="A22">
        <v>0.3</v>
      </c>
      <c r="B22" t="s">
        <v>13</v>
      </c>
      <c r="C22" s="11">
        <v>8.7482362499999994E-3</v>
      </c>
      <c r="D22" s="11">
        <v>0.14580393750000001</v>
      </c>
    </row>
    <row r="23" spans="1:4">
      <c r="A23">
        <v>0.3</v>
      </c>
      <c r="B23" t="s">
        <v>4</v>
      </c>
      <c r="C23" s="11">
        <v>0.05</v>
      </c>
      <c r="D23" s="11">
        <v>0.68</v>
      </c>
    </row>
    <row r="24" spans="1:4">
      <c r="A24">
        <v>0.3</v>
      </c>
      <c r="B24" t="s">
        <v>5</v>
      </c>
      <c r="C24" s="11">
        <v>0.09</v>
      </c>
      <c r="D24" s="11">
        <v>1.1399999999999999</v>
      </c>
    </row>
    <row r="25" spans="1:4">
      <c r="A25">
        <v>0.3</v>
      </c>
      <c r="B25" t="s">
        <v>6</v>
      </c>
      <c r="C25" s="11">
        <v>0.13</v>
      </c>
      <c r="D25" s="11">
        <v>1.73</v>
      </c>
    </row>
    <row r="26" spans="1:4">
      <c r="A26">
        <v>0.3</v>
      </c>
      <c r="B26" t="s">
        <v>7</v>
      </c>
      <c r="C26" s="11">
        <v>0.21</v>
      </c>
      <c r="D26" s="11">
        <v>2.7</v>
      </c>
    </row>
    <row r="27" spans="1:4">
      <c r="A27">
        <v>0.3</v>
      </c>
      <c r="B27" t="s">
        <v>8</v>
      </c>
      <c r="C27" s="11">
        <v>0.32</v>
      </c>
      <c r="D27" s="11">
        <v>4.22</v>
      </c>
    </row>
    <row r="28" spans="1:4">
      <c r="A28">
        <v>0.3</v>
      </c>
      <c r="B28" t="s">
        <v>9</v>
      </c>
      <c r="C28" s="11">
        <v>0.46</v>
      </c>
      <c r="D28" s="11">
        <v>6.08</v>
      </c>
    </row>
    <row r="29" spans="1:4">
      <c r="A29">
        <v>0.3</v>
      </c>
      <c r="B29" t="s">
        <v>10</v>
      </c>
      <c r="C29" s="11">
        <v>0.82</v>
      </c>
      <c r="D29" s="11">
        <v>10.8</v>
      </c>
    </row>
    <row r="30" spans="1:4">
      <c r="A30">
        <v>0.3</v>
      </c>
      <c r="B30" t="s">
        <v>11</v>
      </c>
      <c r="C30" s="11">
        <v>1.29</v>
      </c>
      <c r="D30" s="11">
        <v>16.88</v>
      </c>
    </row>
    <row r="31" spans="1:4">
      <c r="A31">
        <v>0.3</v>
      </c>
      <c r="B31" t="s">
        <v>12</v>
      </c>
      <c r="C31" s="11">
        <v>1.85</v>
      </c>
      <c r="D31" s="11">
        <v>24.31</v>
      </c>
    </row>
    <row r="32" spans="1:4">
      <c r="A32">
        <v>0.4</v>
      </c>
      <c r="B32" t="s">
        <v>13</v>
      </c>
      <c r="C32" s="11">
        <v>1.1461196249999998E-2</v>
      </c>
      <c r="D32" s="11">
        <v>0.19101993750000001</v>
      </c>
    </row>
    <row r="33" spans="1:9">
      <c r="A33">
        <v>0.4</v>
      </c>
      <c r="B33" t="s">
        <v>4</v>
      </c>
      <c r="C33" s="11">
        <v>0.06</v>
      </c>
      <c r="D33" s="11">
        <v>0.83</v>
      </c>
    </row>
    <row r="34" spans="1:9">
      <c r="A34">
        <v>0.4</v>
      </c>
      <c r="B34" t="s">
        <v>5</v>
      </c>
      <c r="C34" s="11">
        <v>0.1</v>
      </c>
      <c r="D34" s="11">
        <v>1.41</v>
      </c>
    </row>
    <row r="35" spans="1:9">
      <c r="A35">
        <v>0.4</v>
      </c>
      <c r="B35" t="s">
        <v>6</v>
      </c>
      <c r="C35" s="11">
        <v>0.15</v>
      </c>
      <c r="D35" s="11">
        <v>2.13</v>
      </c>
    </row>
    <row r="36" spans="1:9">
      <c r="A36">
        <v>0.4</v>
      </c>
      <c r="B36" t="s">
        <v>7</v>
      </c>
      <c r="C36" s="11">
        <v>0.23</v>
      </c>
      <c r="D36" s="11">
        <v>3.33</v>
      </c>
    </row>
    <row r="37" spans="1:9">
      <c r="A37">
        <v>0.4</v>
      </c>
      <c r="B37" t="s">
        <v>8</v>
      </c>
      <c r="C37" s="11">
        <v>0.36</v>
      </c>
      <c r="D37" s="11">
        <v>5.21</v>
      </c>
    </row>
    <row r="38" spans="1:9">
      <c r="A38">
        <v>0.4</v>
      </c>
      <c r="B38" t="s">
        <v>9</v>
      </c>
      <c r="C38" s="11">
        <v>0.51</v>
      </c>
      <c r="D38" s="11">
        <v>7.5</v>
      </c>
    </row>
    <row r="39" spans="1:9">
      <c r="A39">
        <v>0.4</v>
      </c>
      <c r="B39" t="s">
        <v>10</v>
      </c>
      <c r="C39" s="11">
        <v>0.91</v>
      </c>
      <c r="D39" s="11">
        <v>13.33</v>
      </c>
    </row>
    <row r="40" spans="1:9">
      <c r="A40">
        <v>0.4</v>
      </c>
      <c r="B40" t="s">
        <v>11</v>
      </c>
      <c r="C40" s="11">
        <v>1.43</v>
      </c>
      <c r="D40" s="11">
        <v>20.82</v>
      </c>
    </row>
    <row r="41" spans="1:9">
      <c r="A41">
        <v>0.4</v>
      </c>
      <c r="B41" t="s">
        <v>12</v>
      </c>
      <c r="C41" s="11">
        <v>2.06</v>
      </c>
      <c r="D41" s="11">
        <v>29.99</v>
      </c>
    </row>
    <row r="42" spans="1:9">
      <c r="A42">
        <v>0.5</v>
      </c>
      <c r="B42" t="s">
        <v>13</v>
      </c>
      <c r="C42" s="11">
        <v>1.4142363750000001E-2</v>
      </c>
      <c r="D42" s="11">
        <v>0.23570606250000004</v>
      </c>
      <c r="H42" s="8"/>
      <c r="I42" s="8"/>
    </row>
    <row r="43" spans="1:9">
      <c r="A43">
        <v>0.5</v>
      </c>
      <c r="B43" t="s">
        <v>4</v>
      </c>
      <c r="C43" s="11">
        <v>0.06</v>
      </c>
      <c r="D43" s="11">
        <v>0.99</v>
      </c>
      <c r="H43" s="8"/>
      <c r="I43" s="8"/>
    </row>
    <row r="44" spans="1:9">
      <c r="A44">
        <v>0.5</v>
      </c>
      <c r="B44" t="s">
        <v>5</v>
      </c>
      <c r="C44" s="11">
        <v>0.11</v>
      </c>
      <c r="D44" s="11">
        <v>1.67</v>
      </c>
      <c r="H44" s="8"/>
      <c r="I44" s="8"/>
    </row>
    <row r="45" spans="1:9">
      <c r="A45">
        <v>0.5</v>
      </c>
      <c r="B45" t="s">
        <v>6</v>
      </c>
      <c r="C45" s="11">
        <v>0.16</v>
      </c>
      <c r="D45" s="11">
        <v>2.5299999999999998</v>
      </c>
      <c r="H45" s="8"/>
      <c r="I45" s="8"/>
    </row>
    <row r="46" spans="1:9">
      <c r="A46">
        <v>0.5</v>
      </c>
      <c r="B46" t="s">
        <v>7</v>
      </c>
      <c r="C46" s="11">
        <v>0.25</v>
      </c>
      <c r="D46" s="11">
        <v>3.96</v>
      </c>
      <c r="H46" s="8"/>
      <c r="I46" s="8"/>
    </row>
    <row r="47" spans="1:9">
      <c r="A47">
        <v>0.5</v>
      </c>
      <c r="B47" t="s">
        <v>8</v>
      </c>
      <c r="C47" s="11">
        <v>0.39</v>
      </c>
      <c r="D47" s="11">
        <v>6.18</v>
      </c>
      <c r="H47" s="8"/>
      <c r="I47" s="8"/>
    </row>
    <row r="48" spans="1:9">
      <c r="A48">
        <v>0.5</v>
      </c>
      <c r="B48" t="s">
        <v>9</v>
      </c>
      <c r="C48" s="11">
        <v>0.56000000000000005</v>
      </c>
      <c r="D48" s="11">
        <v>8.9</v>
      </c>
      <c r="H48" s="8"/>
      <c r="I48" s="8"/>
    </row>
    <row r="49" spans="1:9">
      <c r="A49">
        <v>0.5</v>
      </c>
      <c r="B49" t="s">
        <v>10</v>
      </c>
      <c r="C49" s="11">
        <v>1</v>
      </c>
      <c r="D49" s="11">
        <v>15.83</v>
      </c>
      <c r="H49" s="8"/>
      <c r="I49" s="8"/>
    </row>
    <row r="50" spans="1:9">
      <c r="A50">
        <v>0.5</v>
      </c>
      <c r="B50" t="s">
        <v>11</v>
      </c>
      <c r="C50" s="11">
        <v>1.56</v>
      </c>
      <c r="D50" s="11">
        <v>24.73</v>
      </c>
      <c r="H50" s="8"/>
      <c r="I50" s="8"/>
    </row>
    <row r="51" spans="1:9">
      <c r="A51">
        <v>0.5</v>
      </c>
      <c r="B51" t="s">
        <v>12</v>
      </c>
      <c r="C51" s="11">
        <v>2.2400000000000002</v>
      </c>
      <c r="D51" s="11">
        <v>35.61</v>
      </c>
      <c r="H51" s="8"/>
      <c r="I51" s="8"/>
    </row>
    <row r="52" spans="1:9">
      <c r="A52">
        <v>0.6</v>
      </c>
      <c r="B52" t="s">
        <v>13</v>
      </c>
      <c r="C52" s="11">
        <v>1.6797037499999997E-2</v>
      </c>
      <c r="D52" s="11">
        <v>0.27995062500000006</v>
      </c>
      <c r="H52" s="8"/>
      <c r="I52" s="8"/>
    </row>
    <row r="53" spans="1:9">
      <c r="A53">
        <v>0.6</v>
      </c>
      <c r="B53" t="s">
        <v>4</v>
      </c>
      <c r="C53" s="11">
        <v>7.0000000000000007E-2</v>
      </c>
      <c r="D53" s="11">
        <v>1.1399999999999999</v>
      </c>
      <c r="H53" s="8"/>
      <c r="I53" s="8"/>
    </row>
    <row r="54" spans="1:9">
      <c r="A54">
        <v>0.6</v>
      </c>
      <c r="B54" t="s">
        <v>5</v>
      </c>
      <c r="C54" s="11">
        <v>0.11</v>
      </c>
      <c r="D54" s="11">
        <v>1.93</v>
      </c>
    </row>
    <row r="55" spans="1:9">
      <c r="A55">
        <v>0.6</v>
      </c>
      <c r="B55" t="s">
        <v>6</v>
      </c>
      <c r="C55" s="11">
        <v>0.17</v>
      </c>
      <c r="D55" s="11">
        <v>2.93</v>
      </c>
    </row>
    <row r="56" spans="1:9">
      <c r="A56">
        <v>0.6</v>
      </c>
      <c r="B56" t="s">
        <v>7</v>
      </c>
      <c r="C56" s="11">
        <v>0.27</v>
      </c>
      <c r="D56" s="11">
        <v>4.58</v>
      </c>
    </row>
    <row r="57" spans="1:9">
      <c r="A57">
        <v>0.6</v>
      </c>
      <c r="B57" t="s">
        <v>8</v>
      </c>
      <c r="C57" s="11">
        <v>0.42</v>
      </c>
      <c r="D57" s="11">
        <v>7.15</v>
      </c>
    </row>
    <row r="58" spans="1:9">
      <c r="A58">
        <v>0.6</v>
      </c>
      <c r="B58" t="s">
        <v>9</v>
      </c>
      <c r="C58" s="11">
        <v>0.6</v>
      </c>
      <c r="D58" s="11">
        <v>10.3</v>
      </c>
    </row>
    <row r="59" spans="1:9">
      <c r="A59">
        <v>0.6</v>
      </c>
      <c r="B59" t="s">
        <v>10</v>
      </c>
      <c r="C59" s="11">
        <v>1.07</v>
      </c>
      <c r="D59" s="11">
        <v>18.309999999999999</v>
      </c>
    </row>
    <row r="60" spans="1:9">
      <c r="A60">
        <v>0.6</v>
      </c>
      <c r="B60" t="s">
        <v>11</v>
      </c>
      <c r="C60" s="11">
        <v>1.68</v>
      </c>
      <c r="D60" s="11">
        <v>28.61</v>
      </c>
    </row>
    <row r="61" spans="1:9">
      <c r="A61">
        <v>0.6</v>
      </c>
      <c r="B61" t="s">
        <v>12</v>
      </c>
      <c r="C61" s="11">
        <v>2.41</v>
      </c>
      <c r="D61" s="11">
        <v>41.2</v>
      </c>
    </row>
    <row r="62" spans="1:9">
      <c r="A62">
        <v>0.7</v>
      </c>
      <c r="B62" t="s">
        <v>13</v>
      </c>
      <c r="C62" s="11">
        <v>1.9430516250000002E-2</v>
      </c>
      <c r="D62" s="11">
        <v>0.32384193750000001</v>
      </c>
    </row>
    <row r="63" spans="1:9">
      <c r="A63">
        <v>0.7</v>
      </c>
      <c r="B63" t="s">
        <v>4</v>
      </c>
      <c r="C63" s="11">
        <v>7.0000000000000007E-2</v>
      </c>
      <c r="D63" s="11">
        <v>1.29</v>
      </c>
    </row>
    <row r="64" spans="1:9">
      <c r="A64">
        <v>0.7</v>
      </c>
      <c r="B64" t="s">
        <v>5</v>
      </c>
      <c r="C64" s="11">
        <v>0.12</v>
      </c>
      <c r="D64" s="11">
        <v>2.1800000000000002</v>
      </c>
    </row>
    <row r="65" spans="1:4">
      <c r="A65">
        <v>0.7</v>
      </c>
      <c r="B65" t="s">
        <v>6</v>
      </c>
      <c r="C65" s="11">
        <v>0.18</v>
      </c>
      <c r="D65" s="11">
        <v>3.3</v>
      </c>
    </row>
    <row r="66" spans="1:4">
      <c r="A66">
        <v>0.7</v>
      </c>
      <c r="B66" t="s">
        <v>7</v>
      </c>
      <c r="C66" s="11">
        <v>0.28000000000000003</v>
      </c>
      <c r="D66" s="11">
        <v>5.16</v>
      </c>
    </row>
    <row r="67" spans="1:4">
      <c r="A67">
        <v>0.7</v>
      </c>
      <c r="B67" t="s">
        <v>8</v>
      </c>
      <c r="C67" s="11">
        <v>0.44</v>
      </c>
      <c r="D67" s="11">
        <v>8.06</v>
      </c>
    </row>
    <row r="68" spans="1:4">
      <c r="A68">
        <v>0.7</v>
      </c>
      <c r="B68" t="s">
        <v>9</v>
      </c>
      <c r="C68" s="11">
        <v>0.64</v>
      </c>
      <c r="D68" s="11">
        <v>11.61</v>
      </c>
    </row>
    <row r="69" spans="1:4">
      <c r="A69">
        <v>0.7</v>
      </c>
      <c r="B69" t="s">
        <v>10</v>
      </c>
      <c r="C69" s="11">
        <v>1.1399999999999999</v>
      </c>
      <c r="D69" s="11">
        <v>20.64</v>
      </c>
    </row>
    <row r="70" spans="1:4">
      <c r="A70">
        <v>0.7</v>
      </c>
      <c r="B70" t="s">
        <v>11</v>
      </c>
      <c r="C70" s="11">
        <v>1.78</v>
      </c>
      <c r="D70" s="11">
        <v>32.25</v>
      </c>
    </row>
    <row r="71" spans="1:4">
      <c r="A71">
        <v>0.7</v>
      </c>
      <c r="B71" t="s">
        <v>12</v>
      </c>
      <c r="C71" s="11">
        <v>2.56</v>
      </c>
      <c r="D71" s="11">
        <v>46.45</v>
      </c>
    </row>
    <row r="72" spans="1:4">
      <c r="A72">
        <v>0.8</v>
      </c>
      <c r="B72" t="s">
        <v>13</v>
      </c>
      <c r="C72" s="11">
        <v>2.2053397499999999E-2</v>
      </c>
      <c r="D72" s="11">
        <v>0.36755662500000008</v>
      </c>
    </row>
    <row r="73" spans="1:4">
      <c r="A73">
        <v>0.8</v>
      </c>
      <c r="B73" t="s">
        <v>4</v>
      </c>
      <c r="C73" s="11">
        <v>0.08</v>
      </c>
      <c r="D73" s="11">
        <v>1.45</v>
      </c>
    </row>
    <row r="74" spans="1:4">
      <c r="A74">
        <v>0.8</v>
      </c>
      <c r="B74" t="s">
        <v>5</v>
      </c>
      <c r="C74" s="11">
        <v>0.13</v>
      </c>
      <c r="D74" s="11">
        <v>2.4500000000000002</v>
      </c>
    </row>
    <row r="75" spans="1:4">
      <c r="A75">
        <v>0.8</v>
      </c>
      <c r="B75" t="s">
        <v>6</v>
      </c>
      <c r="C75" s="11">
        <v>0.19</v>
      </c>
      <c r="D75" s="11">
        <v>3.72</v>
      </c>
    </row>
    <row r="76" spans="1:4">
      <c r="A76">
        <v>0.8</v>
      </c>
      <c r="B76" t="s">
        <v>7</v>
      </c>
      <c r="C76" s="11">
        <v>0.3</v>
      </c>
      <c r="D76" s="11">
        <v>5.81</v>
      </c>
    </row>
    <row r="77" spans="1:4">
      <c r="A77">
        <v>0.8</v>
      </c>
      <c r="B77" t="s">
        <v>8</v>
      </c>
      <c r="C77" s="11">
        <v>0.47</v>
      </c>
      <c r="D77" s="11">
        <v>9.08</v>
      </c>
    </row>
    <row r="78" spans="1:4">
      <c r="A78">
        <v>0.8</v>
      </c>
      <c r="B78" t="s">
        <v>9</v>
      </c>
      <c r="C78" s="11">
        <v>0.68</v>
      </c>
      <c r="D78" s="11">
        <v>13.07</v>
      </c>
    </row>
    <row r="79" spans="1:4">
      <c r="A79">
        <v>0.8</v>
      </c>
      <c r="B79" t="s">
        <v>10</v>
      </c>
      <c r="C79" s="11">
        <v>1.21</v>
      </c>
      <c r="D79" s="11">
        <v>23.24</v>
      </c>
    </row>
    <row r="80" spans="1:4">
      <c r="A80">
        <v>0.8</v>
      </c>
      <c r="B80" t="s">
        <v>11</v>
      </c>
      <c r="C80" s="11">
        <v>1.89</v>
      </c>
      <c r="D80" s="11">
        <v>36.31</v>
      </c>
    </row>
    <row r="81" spans="1:4">
      <c r="A81">
        <v>0.8</v>
      </c>
      <c r="B81" t="s">
        <v>12</v>
      </c>
      <c r="C81" s="11">
        <v>2.72</v>
      </c>
      <c r="D81" s="11">
        <v>52.28</v>
      </c>
    </row>
    <row r="82" spans="1:4">
      <c r="A82">
        <v>0.9</v>
      </c>
      <c r="B82" t="s">
        <v>13</v>
      </c>
      <c r="C82" s="11">
        <v>2.4718668749999999E-2</v>
      </c>
      <c r="D82" s="11">
        <v>0.4119778125000001</v>
      </c>
    </row>
    <row r="83" spans="1:4">
      <c r="A83">
        <v>0.9</v>
      </c>
      <c r="B83" t="s">
        <v>4</v>
      </c>
      <c r="C83" s="11">
        <v>0.08</v>
      </c>
      <c r="D83" s="11">
        <v>1.61</v>
      </c>
    </row>
    <row r="84" spans="1:4">
      <c r="A84">
        <v>0.9</v>
      </c>
      <c r="B84" t="s">
        <v>5</v>
      </c>
      <c r="C84" s="11">
        <v>0.13</v>
      </c>
      <c r="D84" s="11">
        <v>2.71</v>
      </c>
    </row>
    <row r="85" spans="1:4">
      <c r="A85">
        <v>0.9</v>
      </c>
      <c r="B85" t="s">
        <v>6</v>
      </c>
      <c r="C85" s="11">
        <v>0.2</v>
      </c>
      <c r="D85" s="11">
        <v>4.1100000000000003</v>
      </c>
    </row>
    <row r="86" spans="1:4">
      <c r="A86">
        <v>0.9</v>
      </c>
      <c r="B86" t="s">
        <v>7</v>
      </c>
      <c r="C86" s="11">
        <v>0.32</v>
      </c>
      <c r="D86" s="11">
        <v>6.42</v>
      </c>
    </row>
    <row r="87" spans="1:4">
      <c r="A87">
        <v>0.9</v>
      </c>
      <c r="B87" t="s">
        <v>8</v>
      </c>
      <c r="C87" s="11">
        <v>0.5</v>
      </c>
      <c r="D87" s="11">
        <v>10.039999999999999</v>
      </c>
    </row>
    <row r="88" spans="1:4">
      <c r="A88">
        <v>0.9</v>
      </c>
      <c r="B88" t="s">
        <v>9</v>
      </c>
      <c r="C88" s="11">
        <v>0.71</v>
      </c>
      <c r="D88" s="11">
        <v>14.45</v>
      </c>
    </row>
    <row r="89" spans="1:4">
      <c r="A89">
        <v>0.9</v>
      </c>
      <c r="B89" t="s">
        <v>10</v>
      </c>
      <c r="C89" s="11">
        <v>1.27</v>
      </c>
      <c r="D89" s="11">
        <v>25.69</v>
      </c>
    </row>
    <row r="90" spans="1:4">
      <c r="A90">
        <v>0.9</v>
      </c>
      <c r="B90" t="s">
        <v>11</v>
      </c>
      <c r="C90" s="11">
        <v>1.98</v>
      </c>
      <c r="D90" s="11">
        <v>40.15</v>
      </c>
    </row>
    <row r="91" spans="1:4">
      <c r="A91">
        <v>0.9</v>
      </c>
      <c r="B91" t="s">
        <v>12</v>
      </c>
      <c r="C91" s="11">
        <v>2.86</v>
      </c>
      <c r="D91" s="11">
        <v>57.81</v>
      </c>
    </row>
    <row r="92" spans="1:4">
      <c r="A92">
        <v>1</v>
      </c>
      <c r="B92" t="s">
        <v>13</v>
      </c>
      <c r="C92" s="11">
        <v>2.7272666250000001E-2</v>
      </c>
      <c r="D92" s="11">
        <v>0.45454443750000006</v>
      </c>
    </row>
    <row r="93" spans="1:4">
      <c r="A93">
        <v>1</v>
      </c>
      <c r="B93" t="s">
        <v>4</v>
      </c>
      <c r="C93" s="11">
        <v>0.08</v>
      </c>
      <c r="D93" s="11">
        <v>1.76</v>
      </c>
    </row>
    <row r="94" spans="1:4">
      <c r="A94">
        <v>1</v>
      </c>
      <c r="B94" t="s">
        <v>5</v>
      </c>
      <c r="C94" s="11">
        <v>0.14000000000000001</v>
      </c>
      <c r="D94" s="11">
        <v>2.97</v>
      </c>
    </row>
    <row r="95" spans="1:4">
      <c r="A95">
        <v>1</v>
      </c>
      <c r="B95" t="s">
        <v>6</v>
      </c>
      <c r="C95" s="11">
        <v>0.21</v>
      </c>
      <c r="D95" s="11">
        <v>4.5</v>
      </c>
    </row>
    <row r="96" spans="1:4">
      <c r="A96">
        <v>1</v>
      </c>
      <c r="B96" t="s">
        <v>7</v>
      </c>
      <c r="C96" s="11">
        <v>0.33</v>
      </c>
      <c r="D96" s="11">
        <v>7</v>
      </c>
    </row>
    <row r="97" spans="1:9">
      <c r="A97">
        <v>1</v>
      </c>
      <c r="B97" t="s">
        <v>8</v>
      </c>
      <c r="C97" s="11">
        <v>0.52</v>
      </c>
      <c r="D97" s="11">
        <v>11</v>
      </c>
    </row>
    <row r="98" spans="1:9">
      <c r="A98">
        <v>1</v>
      </c>
      <c r="B98" t="s">
        <v>9</v>
      </c>
      <c r="C98" s="11">
        <v>0.75</v>
      </c>
      <c r="D98" s="11">
        <v>15.83</v>
      </c>
    </row>
    <row r="99" spans="1:9">
      <c r="A99">
        <v>1</v>
      </c>
      <c r="B99" t="s">
        <v>10</v>
      </c>
      <c r="C99" s="11">
        <v>1.33</v>
      </c>
      <c r="D99" s="11">
        <v>28.14</v>
      </c>
    </row>
    <row r="100" spans="1:9">
      <c r="A100">
        <v>1</v>
      </c>
      <c r="B100" t="s">
        <v>11</v>
      </c>
      <c r="C100" s="11">
        <v>2.1</v>
      </c>
      <c r="D100" s="11">
        <v>44</v>
      </c>
    </row>
    <row r="101" spans="1:9">
      <c r="A101">
        <v>1</v>
      </c>
      <c r="B101" t="s">
        <v>12</v>
      </c>
      <c r="C101" s="11">
        <v>3</v>
      </c>
      <c r="D101" s="11">
        <v>63.3</v>
      </c>
    </row>
    <row r="102" spans="1:9">
      <c r="A102">
        <v>1.1000000000000001</v>
      </c>
      <c r="B102" t="s">
        <v>13</v>
      </c>
      <c r="C102" s="11">
        <v>2.98743525E-2</v>
      </c>
      <c r="D102" s="11">
        <v>0.49790587500000011</v>
      </c>
      <c r="H102" s="8"/>
      <c r="I102" s="8"/>
    </row>
    <row r="103" spans="1:9">
      <c r="A103">
        <v>1.1000000000000001</v>
      </c>
      <c r="B103" t="s">
        <v>4</v>
      </c>
      <c r="C103" s="11">
        <v>0.09</v>
      </c>
      <c r="D103" s="11">
        <v>1.91</v>
      </c>
      <c r="H103" s="8"/>
      <c r="I103" s="8"/>
    </row>
    <row r="104" spans="1:9">
      <c r="A104">
        <v>1.1000000000000001</v>
      </c>
      <c r="B104" t="s">
        <v>5</v>
      </c>
      <c r="C104" s="11">
        <v>0.15</v>
      </c>
      <c r="D104" s="11">
        <v>3.23</v>
      </c>
      <c r="H104" s="8"/>
      <c r="I104" s="8"/>
    </row>
    <row r="105" spans="1:9">
      <c r="A105">
        <v>1.1000000000000001</v>
      </c>
      <c r="B105" t="s">
        <v>6</v>
      </c>
      <c r="C105" s="11">
        <v>0.22</v>
      </c>
      <c r="D105" s="11">
        <v>4.8899999999999997</v>
      </c>
      <c r="H105" s="8"/>
      <c r="I105" s="8"/>
    </row>
    <row r="106" spans="1:9">
      <c r="A106">
        <v>1.1000000000000001</v>
      </c>
      <c r="B106" t="s">
        <v>7</v>
      </c>
      <c r="C106" s="11">
        <v>0.35</v>
      </c>
      <c r="D106" s="11">
        <v>7.65</v>
      </c>
      <c r="H106" s="8"/>
      <c r="I106" s="8"/>
    </row>
    <row r="107" spans="1:9">
      <c r="A107">
        <v>1.1000000000000001</v>
      </c>
      <c r="B107" t="s">
        <v>8</v>
      </c>
      <c r="C107" s="11">
        <v>0.54</v>
      </c>
      <c r="D107" s="11">
        <v>11.95</v>
      </c>
      <c r="H107" s="8"/>
      <c r="I107" s="8"/>
    </row>
    <row r="108" spans="1:9">
      <c r="A108">
        <v>1.1000000000000001</v>
      </c>
      <c r="B108" t="s">
        <v>9</v>
      </c>
      <c r="C108" s="11">
        <v>0.78</v>
      </c>
      <c r="D108" s="11">
        <v>17.21</v>
      </c>
    </row>
    <row r="109" spans="1:9">
      <c r="A109">
        <v>1.1000000000000001</v>
      </c>
      <c r="B109" t="s">
        <v>10</v>
      </c>
      <c r="C109" s="11">
        <v>1.39</v>
      </c>
      <c r="D109" s="11">
        <v>30.6</v>
      </c>
    </row>
    <row r="110" spans="1:9">
      <c r="A110">
        <v>1.1000000000000001</v>
      </c>
      <c r="B110" t="s">
        <v>11</v>
      </c>
      <c r="C110" s="11">
        <v>2.2000000000000002</v>
      </c>
      <c r="D110" s="11">
        <v>47.8</v>
      </c>
    </row>
    <row r="111" spans="1:9">
      <c r="A111">
        <v>1.1000000000000001</v>
      </c>
      <c r="B111" t="s">
        <v>12</v>
      </c>
      <c r="C111" s="11">
        <v>3.12</v>
      </c>
      <c r="D111" s="11">
        <v>68.8</v>
      </c>
    </row>
    <row r="112" spans="1:9">
      <c r="A112">
        <v>1.2</v>
      </c>
      <c r="B112" t="s">
        <v>13</v>
      </c>
      <c r="C112" s="11">
        <v>3.2465441249999998E-2</v>
      </c>
      <c r="D112" s="11">
        <v>0.54109068750000011</v>
      </c>
    </row>
    <row r="113" spans="1:4">
      <c r="A113">
        <v>1.2</v>
      </c>
      <c r="B113" t="s">
        <v>4</v>
      </c>
      <c r="C113" s="11">
        <v>0.09</v>
      </c>
      <c r="D113" s="11">
        <v>2.06</v>
      </c>
    </row>
    <row r="114" spans="1:4">
      <c r="A114">
        <v>1.2</v>
      </c>
      <c r="B114" t="s">
        <v>5</v>
      </c>
      <c r="C114" s="11">
        <v>0.15</v>
      </c>
      <c r="D114" s="11">
        <v>3.49</v>
      </c>
    </row>
    <row r="115" spans="1:4">
      <c r="A115">
        <v>1.2</v>
      </c>
      <c r="B115" t="s">
        <v>6</v>
      </c>
      <c r="C115" s="11">
        <v>0.23</v>
      </c>
      <c r="D115" s="11">
        <v>5.28</v>
      </c>
    </row>
    <row r="116" spans="1:4">
      <c r="A116">
        <v>1.2</v>
      </c>
      <c r="B116" t="s">
        <v>7</v>
      </c>
      <c r="C116" s="11">
        <v>0.36</v>
      </c>
      <c r="D116" s="11">
        <v>8.26</v>
      </c>
    </row>
    <row r="117" spans="1:4">
      <c r="A117">
        <v>1.2</v>
      </c>
      <c r="B117" t="s">
        <v>8</v>
      </c>
      <c r="C117" s="11">
        <v>0.56000000000000005</v>
      </c>
      <c r="D117" s="11">
        <v>12.9</v>
      </c>
    </row>
    <row r="118" spans="1:4">
      <c r="A118">
        <v>1.2</v>
      </c>
      <c r="B118" t="s">
        <v>9</v>
      </c>
      <c r="C118" s="11">
        <v>0.81</v>
      </c>
      <c r="D118" s="11">
        <v>18.579999999999998</v>
      </c>
    </row>
    <row r="119" spans="1:4">
      <c r="A119">
        <v>1.2</v>
      </c>
      <c r="B119" t="s">
        <v>10</v>
      </c>
      <c r="C119" s="11">
        <v>1.44</v>
      </c>
      <c r="D119" s="11">
        <v>33.03</v>
      </c>
    </row>
    <row r="120" spans="1:4">
      <c r="A120">
        <v>1.2</v>
      </c>
      <c r="B120" t="s">
        <v>11</v>
      </c>
      <c r="C120" s="11">
        <v>2.25</v>
      </c>
      <c r="D120" s="11">
        <v>51.61</v>
      </c>
    </row>
    <row r="121" spans="1:4">
      <c r="A121">
        <v>1.2</v>
      </c>
      <c r="B121" t="s">
        <v>12</v>
      </c>
      <c r="C121" s="11">
        <v>3.24</v>
      </c>
      <c r="D121" s="11">
        <v>74.31</v>
      </c>
    </row>
    <row r="122" spans="1:4">
      <c r="A122">
        <v>1.3</v>
      </c>
      <c r="B122" t="s">
        <v>13</v>
      </c>
      <c r="C122" s="11">
        <v>3.5061828750000003E-2</v>
      </c>
      <c r="D122" s="11">
        <v>0.58436381250000013</v>
      </c>
    </row>
    <row r="123" spans="1:4">
      <c r="A123">
        <v>1.3</v>
      </c>
      <c r="B123" t="s">
        <v>4</v>
      </c>
      <c r="C123" s="11">
        <v>0.09</v>
      </c>
      <c r="D123" s="11">
        <v>2.2200000000000002</v>
      </c>
    </row>
    <row r="124" spans="1:4">
      <c r="A124">
        <v>1.3</v>
      </c>
      <c r="B124" t="s">
        <v>5</v>
      </c>
      <c r="C124" s="11">
        <v>0.16</v>
      </c>
      <c r="D124" s="11">
        <v>3.75</v>
      </c>
    </row>
    <row r="125" spans="1:4">
      <c r="A125">
        <v>1.3</v>
      </c>
      <c r="B125" t="s">
        <v>6</v>
      </c>
      <c r="C125" s="11">
        <v>0.24</v>
      </c>
      <c r="D125" s="11">
        <v>5.68</v>
      </c>
    </row>
    <row r="126" spans="1:4">
      <c r="A126">
        <v>1.3</v>
      </c>
      <c r="B126" t="s">
        <v>7</v>
      </c>
      <c r="C126" s="11">
        <v>0.37</v>
      </c>
      <c r="D126" s="11">
        <v>8.8699999999999992</v>
      </c>
    </row>
    <row r="127" spans="1:4">
      <c r="A127">
        <v>1.3</v>
      </c>
      <c r="B127" t="s">
        <v>8</v>
      </c>
      <c r="C127" s="11">
        <v>0.57999999999999996</v>
      </c>
      <c r="D127" s="11">
        <v>13.86</v>
      </c>
    </row>
    <row r="128" spans="1:4">
      <c r="A128">
        <v>1.3</v>
      </c>
      <c r="B128" t="s">
        <v>9</v>
      </c>
      <c r="C128" s="11">
        <v>0.84</v>
      </c>
      <c r="D128" s="11">
        <v>19.95</v>
      </c>
    </row>
    <row r="129" spans="1:4">
      <c r="A129">
        <v>1.3</v>
      </c>
      <c r="B129" t="s">
        <v>10</v>
      </c>
      <c r="C129" s="11">
        <v>1.49</v>
      </c>
      <c r="D129" s="11">
        <v>35.479999999999997</v>
      </c>
    </row>
    <row r="130" spans="1:4">
      <c r="A130">
        <v>1.3</v>
      </c>
      <c r="B130" t="s">
        <v>11</v>
      </c>
      <c r="C130" s="11">
        <v>2.33</v>
      </c>
      <c r="D130" s="11">
        <v>55.43</v>
      </c>
    </row>
    <row r="131" spans="1:4">
      <c r="A131">
        <v>1.3</v>
      </c>
      <c r="B131" t="s">
        <v>12</v>
      </c>
      <c r="C131" s="11">
        <v>3.36</v>
      </c>
      <c r="D131" s="11">
        <v>79.819999999999993</v>
      </c>
    </row>
    <row r="132" spans="1:4">
      <c r="A132">
        <v>1.4</v>
      </c>
      <c r="B132" t="s">
        <v>13</v>
      </c>
      <c r="C132" s="11">
        <v>3.7652917500000001E-2</v>
      </c>
      <c r="D132" s="11">
        <v>0.62754862500000008</v>
      </c>
    </row>
    <row r="133" spans="1:4">
      <c r="A133">
        <v>1.4</v>
      </c>
      <c r="B133" t="s">
        <v>4</v>
      </c>
      <c r="C133" s="11">
        <v>0.1</v>
      </c>
      <c r="D133" s="11">
        <v>2.37</v>
      </c>
    </row>
    <row r="134" spans="1:4">
      <c r="A134">
        <v>1.4</v>
      </c>
      <c r="B134" t="s">
        <v>5</v>
      </c>
      <c r="C134" s="11">
        <v>0.16</v>
      </c>
      <c r="D134" s="11">
        <v>4</v>
      </c>
    </row>
    <row r="135" spans="1:4">
      <c r="A135">
        <v>1.4</v>
      </c>
      <c r="B135" t="s">
        <v>6</v>
      </c>
      <c r="C135" s="11">
        <v>0.25</v>
      </c>
      <c r="D135" s="11">
        <v>6.07</v>
      </c>
    </row>
    <row r="136" spans="1:4">
      <c r="A136">
        <v>1.4</v>
      </c>
      <c r="B136" t="s">
        <v>7</v>
      </c>
      <c r="C136" s="11">
        <v>0.39</v>
      </c>
      <c r="D136" s="11">
        <v>9.48</v>
      </c>
    </row>
    <row r="137" spans="1:4">
      <c r="A137">
        <v>1.4</v>
      </c>
      <c r="B137" t="s">
        <v>8</v>
      </c>
      <c r="C137" s="11">
        <v>0.6</v>
      </c>
      <c r="D137" s="11">
        <v>14.81</v>
      </c>
    </row>
    <row r="138" spans="1:4">
      <c r="A138">
        <v>1.4</v>
      </c>
      <c r="B138" t="s">
        <v>9</v>
      </c>
      <c r="C138" s="11">
        <v>0.87</v>
      </c>
      <c r="D138" s="11">
        <v>21.32</v>
      </c>
    </row>
    <row r="139" spans="1:4">
      <c r="A139">
        <v>1.4</v>
      </c>
      <c r="B139" t="s">
        <v>10</v>
      </c>
      <c r="C139" s="11">
        <v>1.54</v>
      </c>
      <c r="D139" s="11">
        <v>37.909999999999997</v>
      </c>
    </row>
    <row r="140" spans="1:4">
      <c r="A140">
        <v>1.4</v>
      </c>
      <c r="B140" t="s">
        <v>11</v>
      </c>
      <c r="C140" s="11">
        <v>2.41</v>
      </c>
      <c r="D140" s="11">
        <v>59.23</v>
      </c>
    </row>
    <row r="141" spans="1:4">
      <c r="A141">
        <v>1.4</v>
      </c>
      <c r="B141" t="s">
        <v>12</v>
      </c>
      <c r="C141" s="11">
        <v>3.47</v>
      </c>
      <c r="D141" s="11">
        <v>85.29</v>
      </c>
    </row>
    <row r="142" spans="1:4">
      <c r="A142">
        <v>1.5</v>
      </c>
      <c r="B142" t="s">
        <v>13</v>
      </c>
      <c r="C142" s="11">
        <v>4.0249304999999999E-2</v>
      </c>
      <c r="D142" s="11">
        <v>0.67082175000000011</v>
      </c>
    </row>
    <row r="143" spans="1:4">
      <c r="A143">
        <v>1.5</v>
      </c>
      <c r="B143" t="s">
        <v>4</v>
      </c>
      <c r="C143" s="11">
        <v>0.1</v>
      </c>
      <c r="D143" s="11">
        <v>2.52</v>
      </c>
    </row>
    <row r="144" spans="1:4">
      <c r="A144">
        <v>1.5</v>
      </c>
      <c r="B144" t="s">
        <v>5</v>
      </c>
      <c r="C144" s="11">
        <v>0.17</v>
      </c>
      <c r="D144" s="11">
        <v>4.26</v>
      </c>
    </row>
    <row r="145" spans="1:4">
      <c r="A145">
        <v>1.5</v>
      </c>
      <c r="B145" t="s">
        <v>6</v>
      </c>
      <c r="C145" s="11">
        <v>0.25</v>
      </c>
      <c r="D145" s="11">
        <v>6.45</v>
      </c>
    </row>
    <row r="146" spans="1:4">
      <c r="A146">
        <v>1.5</v>
      </c>
      <c r="B146" t="s">
        <v>7</v>
      </c>
      <c r="C146" s="11">
        <v>0.4</v>
      </c>
      <c r="D146" s="11">
        <v>10.08</v>
      </c>
    </row>
    <row r="147" spans="1:4">
      <c r="A147">
        <v>1.5</v>
      </c>
      <c r="B147" t="s">
        <v>8</v>
      </c>
      <c r="C147" s="11">
        <v>0.62</v>
      </c>
      <c r="D147" s="11">
        <v>15.76</v>
      </c>
    </row>
    <row r="148" spans="1:4">
      <c r="A148">
        <v>1.5</v>
      </c>
      <c r="B148" t="s">
        <v>9</v>
      </c>
      <c r="C148" s="11">
        <v>0.9</v>
      </c>
      <c r="D148" s="11">
        <v>22.69</v>
      </c>
    </row>
    <row r="149" spans="1:4">
      <c r="A149">
        <v>1.5</v>
      </c>
      <c r="B149" t="s">
        <v>10</v>
      </c>
      <c r="C149" s="11">
        <v>1.59</v>
      </c>
      <c r="D149" s="11">
        <v>40.340000000000003</v>
      </c>
    </row>
    <row r="150" spans="1:4">
      <c r="A150">
        <v>1.5</v>
      </c>
      <c r="B150" t="s">
        <v>11</v>
      </c>
      <c r="C150" s="11">
        <v>2.4900000000000002</v>
      </c>
      <c r="D150" s="11">
        <v>63.03</v>
      </c>
    </row>
    <row r="151" spans="1:4">
      <c r="A151">
        <v>1.5</v>
      </c>
      <c r="B151" t="s">
        <v>12</v>
      </c>
      <c r="C151" s="11">
        <v>3.58</v>
      </c>
      <c r="D151" s="11">
        <v>90.76</v>
      </c>
    </row>
    <row r="152" spans="1:4">
      <c r="A152">
        <v>1.6</v>
      </c>
      <c r="B152" t="s">
        <v>13</v>
      </c>
      <c r="C152" s="11">
        <v>4.2840393750000004E-2</v>
      </c>
      <c r="D152" s="11">
        <v>0.71400656250000016</v>
      </c>
    </row>
    <row r="153" spans="1:4">
      <c r="A153">
        <v>1.6</v>
      </c>
      <c r="B153" t="s">
        <v>4</v>
      </c>
      <c r="C153" s="11">
        <v>0.1</v>
      </c>
      <c r="D153" s="11">
        <v>2.67</v>
      </c>
    </row>
    <row r="154" spans="1:4">
      <c r="A154">
        <v>1.6</v>
      </c>
      <c r="B154" t="s">
        <v>5</v>
      </c>
      <c r="C154" s="11">
        <v>0.17</v>
      </c>
      <c r="D154" s="11">
        <v>4.5199999999999996</v>
      </c>
    </row>
    <row r="155" spans="1:4">
      <c r="A155">
        <v>1.6</v>
      </c>
      <c r="B155" t="s">
        <v>6</v>
      </c>
      <c r="C155" s="11">
        <v>0.26</v>
      </c>
      <c r="D155" s="11">
        <v>6.84</v>
      </c>
    </row>
    <row r="156" spans="1:4">
      <c r="A156">
        <v>1.6</v>
      </c>
      <c r="B156" t="s">
        <v>7</v>
      </c>
      <c r="C156" s="11">
        <v>0.41</v>
      </c>
      <c r="D156" s="11">
        <v>10.69</v>
      </c>
    </row>
    <row r="157" spans="1:4">
      <c r="A157">
        <v>1.6</v>
      </c>
      <c r="B157" t="s">
        <v>8</v>
      </c>
      <c r="C157" s="11">
        <v>0.64</v>
      </c>
      <c r="D157" s="11">
        <v>16.71</v>
      </c>
    </row>
    <row r="158" spans="1:4">
      <c r="A158">
        <v>1.6</v>
      </c>
      <c r="B158" t="s">
        <v>9</v>
      </c>
      <c r="C158" s="11">
        <v>0.92</v>
      </c>
      <c r="D158" s="11">
        <v>24.06</v>
      </c>
    </row>
    <row r="159" spans="1:4">
      <c r="A159">
        <v>1.6</v>
      </c>
      <c r="B159" t="s">
        <v>10</v>
      </c>
      <c r="C159" s="11">
        <v>1.64</v>
      </c>
      <c r="D159" s="11">
        <v>42.78</v>
      </c>
    </row>
    <row r="160" spans="1:4">
      <c r="A160">
        <v>1.6</v>
      </c>
      <c r="B160" t="s">
        <v>11</v>
      </c>
      <c r="C160" s="11">
        <v>2.56</v>
      </c>
      <c r="D160" s="11">
        <v>66.84</v>
      </c>
    </row>
    <row r="161" spans="1:4">
      <c r="A161">
        <v>1.6</v>
      </c>
      <c r="B161" t="s">
        <v>12</v>
      </c>
      <c r="C161" s="11">
        <v>3.69</v>
      </c>
      <c r="D161" s="11">
        <v>96.25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53F5-D1C8-44FA-B812-1A7D24DBE8E9}">
  <dimension ref="A1:K18"/>
  <sheetViews>
    <sheetView workbookViewId="0">
      <selection sqref="A1:K18"/>
    </sheetView>
  </sheetViews>
  <sheetFormatPr defaultRowHeight="14.4"/>
  <cols>
    <col min="1" max="1" width="11.109375" bestFit="1" customWidth="1"/>
    <col min="2" max="2" width="11.5546875" bestFit="1" customWidth="1"/>
    <col min="7" max="7" width="14.21875" customWidth="1"/>
    <col min="9" max="9" width="11.77734375" customWidth="1"/>
  </cols>
  <sheetData>
    <row r="1" spans="1:11">
      <c r="A1" s="3" t="s">
        <v>22</v>
      </c>
      <c r="B1" s="3" t="s">
        <v>23</v>
      </c>
      <c r="C1" s="3" t="s">
        <v>14</v>
      </c>
      <c r="D1" s="3" t="s">
        <v>15</v>
      </c>
      <c r="E1" s="3" t="s">
        <v>16</v>
      </c>
      <c r="F1" s="4" t="s">
        <v>17</v>
      </c>
      <c r="G1" s="4"/>
      <c r="H1" s="4" t="s">
        <v>18</v>
      </c>
      <c r="I1" s="4"/>
      <c r="J1" s="4" t="s">
        <v>19</v>
      </c>
      <c r="K1" s="4"/>
    </row>
    <row r="2" spans="1:11">
      <c r="A2" s="3"/>
      <c r="B2" s="3"/>
      <c r="C2" s="3"/>
      <c r="D2" s="3"/>
      <c r="E2" s="3"/>
      <c r="F2" s="5" t="s">
        <v>20</v>
      </c>
      <c r="G2" s="5" t="s">
        <v>21</v>
      </c>
      <c r="H2" s="5" t="s">
        <v>20</v>
      </c>
      <c r="I2" s="5" t="s">
        <v>21</v>
      </c>
      <c r="J2" s="5" t="s">
        <v>20</v>
      </c>
      <c r="K2" s="5" t="s">
        <v>21</v>
      </c>
    </row>
    <row r="3" spans="1:11">
      <c r="A3" s="3">
        <v>3</v>
      </c>
      <c r="B3" s="3">
        <v>50</v>
      </c>
      <c r="C3" s="3">
        <v>25</v>
      </c>
      <c r="D3" s="3">
        <v>0.1</v>
      </c>
      <c r="E3" s="3">
        <v>0.59</v>
      </c>
      <c r="F3" s="6">
        <f>3.14*(C3/1000/2)*(C3/1000/2)*$A3*3600</f>
        <v>5.2987500000000001</v>
      </c>
      <c r="G3" s="6">
        <f>3.14*(C3/1000/2)*(C3/1000/2)*B3*3600</f>
        <v>88.312500000000014</v>
      </c>
      <c r="H3" s="6">
        <f>F3*E3</f>
        <v>3.1262624999999997</v>
      </c>
      <c r="I3" s="6">
        <f>G3*E3</f>
        <v>52.104375000000005</v>
      </c>
      <c r="J3" s="7">
        <f>H3/1000</f>
        <v>3.1262624999999996E-3</v>
      </c>
      <c r="K3" s="7">
        <f>I3/1000</f>
        <v>5.2104375000000001E-2</v>
      </c>
    </row>
    <row r="4" spans="1:11">
      <c r="A4" s="3">
        <v>3</v>
      </c>
      <c r="B4" s="3">
        <v>50</v>
      </c>
      <c r="C4" s="3">
        <v>25</v>
      </c>
      <c r="D4" s="3">
        <v>0.2</v>
      </c>
      <c r="E4" s="3">
        <v>1.129</v>
      </c>
      <c r="F4" s="6">
        <f>3.14*(C4/1000/2)*(C4/1000/2)*$A4*3600</f>
        <v>5.2987500000000001</v>
      </c>
      <c r="G4" s="6">
        <f>3.14*(C4/1000/2)*(C4/1000/2)*B4*3600</f>
        <v>88.312500000000014</v>
      </c>
      <c r="H4" s="6">
        <f>F4*E4</f>
        <v>5.9822887500000004</v>
      </c>
      <c r="I4" s="6">
        <f>G4*E4</f>
        <v>99.704812500000017</v>
      </c>
      <c r="J4" s="7">
        <f>H4/1000</f>
        <v>5.9822887500000001E-3</v>
      </c>
      <c r="K4" s="7">
        <f>I4/1000</f>
        <v>9.9704812500000017E-2</v>
      </c>
    </row>
    <row r="5" spans="1:11">
      <c r="A5" s="3">
        <v>3</v>
      </c>
      <c r="B5" s="3">
        <v>50</v>
      </c>
      <c r="C5" s="3">
        <v>25</v>
      </c>
      <c r="D5" s="3">
        <v>0.3</v>
      </c>
      <c r="E5" s="3">
        <v>1.651</v>
      </c>
      <c r="F5" s="6">
        <f>3.14*(C5/1000/2)*(C5/1000/2)*$A5*3600</f>
        <v>5.2987500000000001</v>
      </c>
      <c r="G5" s="6">
        <f>3.14*(C5/1000/2)*(C5/1000/2)*B5*3600</f>
        <v>88.312500000000014</v>
      </c>
      <c r="H5" s="6">
        <f>F5*E5</f>
        <v>8.7482362499999997</v>
      </c>
      <c r="I5" s="6">
        <f>G5*E5</f>
        <v>145.80393750000002</v>
      </c>
      <c r="J5" s="7">
        <f>H5/1000</f>
        <v>8.7482362499999994E-3</v>
      </c>
      <c r="K5" s="7">
        <f>I5/1000</f>
        <v>0.14580393750000001</v>
      </c>
    </row>
    <row r="6" spans="1:11">
      <c r="A6" s="3">
        <v>3</v>
      </c>
      <c r="B6" s="3">
        <v>50</v>
      </c>
      <c r="C6" s="3">
        <v>25</v>
      </c>
      <c r="D6" s="3">
        <v>0.4</v>
      </c>
      <c r="E6" s="3">
        <v>2.1629999999999998</v>
      </c>
      <c r="F6" s="6">
        <f>3.14*(C6/1000/2)*(C6/1000/2)*$A6*3600</f>
        <v>5.2987500000000001</v>
      </c>
      <c r="G6" s="6">
        <f>3.14*(C6/1000/2)*(C6/1000/2)*B6*3600</f>
        <v>88.312500000000014</v>
      </c>
      <c r="H6" s="6">
        <f>F6*E6</f>
        <v>11.461196249999999</v>
      </c>
      <c r="I6" s="6">
        <f>G6*E6</f>
        <v>191.01993750000003</v>
      </c>
      <c r="J6" s="7">
        <f>H6/1000</f>
        <v>1.1461196249999998E-2</v>
      </c>
      <c r="K6" s="7">
        <f>I6/1000</f>
        <v>0.19101993750000001</v>
      </c>
    </row>
    <row r="7" spans="1:11">
      <c r="A7" s="3">
        <v>3</v>
      </c>
      <c r="B7" s="3">
        <v>50</v>
      </c>
      <c r="C7" s="3">
        <v>25</v>
      </c>
      <c r="D7" s="3">
        <v>0.5</v>
      </c>
      <c r="E7" s="3">
        <v>2.669</v>
      </c>
      <c r="F7" s="6">
        <f>3.14*(C7/1000/2)*(C7/1000/2)*$A7*3600</f>
        <v>5.2987500000000001</v>
      </c>
      <c r="G7" s="6">
        <f>3.14*(C7/1000/2)*(C7/1000/2)*B7*3600</f>
        <v>88.312500000000014</v>
      </c>
      <c r="H7" s="6">
        <f>F7*E7</f>
        <v>14.142363750000001</v>
      </c>
      <c r="I7" s="6">
        <f>G7*E7</f>
        <v>235.70606250000003</v>
      </c>
      <c r="J7" s="7">
        <f>H7/1000</f>
        <v>1.4142363750000001E-2</v>
      </c>
      <c r="K7" s="7">
        <f>I7/1000</f>
        <v>0.23570606250000004</v>
      </c>
    </row>
    <row r="8" spans="1:11">
      <c r="A8" s="3">
        <v>3</v>
      </c>
      <c r="B8" s="3">
        <v>50</v>
      </c>
      <c r="C8" s="3">
        <v>25</v>
      </c>
      <c r="D8" s="3">
        <v>0.6</v>
      </c>
      <c r="E8" s="3">
        <v>3.17</v>
      </c>
      <c r="F8" s="6">
        <f>3.14*(C8/1000/2)*(C8/1000/2)*$A8*3600</f>
        <v>5.2987500000000001</v>
      </c>
      <c r="G8" s="6">
        <f>3.14*(C8/1000/2)*(C8/1000/2)*B8*3600</f>
        <v>88.312500000000014</v>
      </c>
      <c r="H8" s="6">
        <f>F8*E8</f>
        <v>16.797037499999998</v>
      </c>
      <c r="I8" s="6">
        <f>G8*E8</f>
        <v>279.95062500000006</v>
      </c>
      <c r="J8" s="7">
        <f>H8/1000</f>
        <v>1.6797037499999997E-2</v>
      </c>
      <c r="K8" s="7">
        <f>I8/1000</f>
        <v>0.27995062500000006</v>
      </c>
    </row>
    <row r="9" spans="1:11">
      <c r="A9" s="3">
        <v>3</v>
      </c>
      <c r="B9" s="3">
        <v>50</v>
      </c>
      <c r="C9" s="3">
        <v>25</v>
      </c>
      <c r="D9" s="3">
        <v>0.7</v>
      </c>
      <c r="E9" s="3">
        <v>3.6669999999999998</v>
      </c>
      <c r="F9" s="6">
        <f>3.14*(C9/1000/2)*(C9/1000/2)*$A9*3600</f>
        <v>5.2987500000000001</v>
      </c>
      <c r="G9" s="6">
        <f>3.14*(C9/1000/2)*(C9/1000/2)*B9*3600</f>
        <v>88.312500000000014</v>
      </c>
      <c r="H9" s="6">
        <f>F9*E9</f>
        <v>19.43051625</v>
      </c>
      <c r="I9" s="6">
        <f>G9*E9</f>
        <v>323.84193750000003</v>
      </c>
      <c r="J9" s="7">
        <f>H9/1000</f>
        <v>1.9430516250000002E-2</v>
      </c>
      <c r="K9" s="7">
        <f>I9/1000</f>
        <v>0.32384193750000001</v>
      </c>
    </row>
    <row r="10" spans="1:11">
      <c r="A10" s="3">
        <v>3</v>
      </c>
      <c r="B10" s="3">
        <v>50</v>
      </c>
      <c r="C10" s="3">
        <v>25</v>
      </c>
      <c r="D10" s="3">
        <v>0.8</v>
      </c>
      <c r="E10" s="3">
        <v>4.1619999999999999</v>
      </c>
      <c r="F10" s="6">
        <f>3.14*(C10/1000/2)*(C10/1000/2)*$A10*3600</f>
        <v>5.2987500000000001</v>
      </c>
      <c r="G10" s="6">
        <f>3.14*(C10/1000/2)*(C10/1000/2)*B10*3600</f>
        <v>88.312500000000014</v>
      </c>
      <c r="H10" s="6">
        <f>F10*E10</f>
        <v>22.053397499999999</v>
      </c>
      <c r="I10" s="6">
        <f>G10*E10</f>
        <v>367.55662500000005</v>
      </c>
      <c r="J10" s="7">
        <f>H10/1000</f>
        <v>2.2053397499999999E-2</v>
      </c>
      <c r="K10" s="7">
        <f>I10/1000</f>
        <v>0.36755662500000008</v>
      </c>
    </row>
    <row r="11" spans="1:11">
      <c r="A11" s="3">
        <v>3</v>
      </c>
      <c r="B11" s="3">
        <v>50</v>
      </c>
      <c r="C11" s="3">
        <v>25</v>
      </c>
      <c r="D11" s="3">
        <v>0.9</v>
      </c>
      <c r="E11" s="3">
        <v>4.665</v>
      </c>
      <c r="F11" s="6">
        <f>3.14*(C11/1000/2)*(C11/1000/2)*$A11*3600</f>
        <v>5.2987500000000001</v>
      </c>
      <c r="G11" s="6">
        <f>3.14*(C11/1000/2)*(C11/1000/2)*B11*3600</f>
        <v>88.312500000000014</v>
      </c>
      <c r="H11" s="6">
        <f>F11*E11</f>
        <v>24.718668749999999</v>
      </c>
      <c r="I11" s="6">
        <f>G11*E11</f>
        <v>411.97781250000008</v>
      </c>
      <c r="J11" s="7">
        <f>H11/1000</f>
        <v>2.4718668749999999E-2</v>
      </c>
      <c r="K11" s="7">
        <f>I11/1000</f>
        <v>0.4119778125000001</v>
      </c>
    </row>
    <row r="12" spans="1:11">
      <c r="A12" s="3">
        <v>3</v>
      </c>
      <c r="B12" s="3">
        <v>50</v>
      </c>
      <c r="C12" s="3">
        <v>25</v>
      </c>
      <c r="D12" s="3">
        <v>1</v>
      </c>
      <c r="E12" s="3">
        <v>5.1470000000000002</v>
      </c>
      <c r="F12" s="6">
        <f>3.14*(C12/1000/2)*(C12/1000/2)*$A12*3600</f>
        <v>5.2987500000000001</v>
      </c>
      <c r="G12" s="6">
        <f>3.14*(C12/1000/2)*(C12/1000/2)*B12*3600</f>
        <v>88.312500000000014</v>
      </c>
      <c r="H12" s="6">
        <f>F12*E12</f>
        <v>27.27266625</v>
      </c>
      <c r="I12" s="6">
        <f>G12*E12</f>
        <v>454.54443750000007</v>
      </c>
      <c r="J12" s="7">
        <f>H12/1000</f>
        <v>2.7272666250000001E-2</v>
      </c>
      <c r="K12" s="7">
        <f>I12/1000</f>
        <v>0.45454443750000006</v>
      </c>
    </row>
    <row r="13" spans="1:11">
      <c r="A13" s="3">
        <v>3</v>
      </c>
      <c r="B13" s="3">
        <v>50</v>
      </c>
      <c r="C13" s="3">
        <v>25</v>
      </c>
      <c r="D13" s="3">
        <v>1.1000000000000001</v>
      </c>
      <c r="E13" s="3">
        <v>5.6379999999999999</v>
      </c>
      <c r="F13" s="6">
        <f>3.14*(C13/1000/2)*(C13/1000/2)*$A13*3600</f>
        <v>5.2987500000000001</v>
      </c>
      <c r="G13" s="6">
        <f>3.14*(C13/1000/2)*(C13/1000/2)*B13*3600</f>
        <v>88.312500000000014</v>
      </c>
      <c r="H13" s="6">
        <f>F13*E13</f>
        <v>29.874352500000001</v>
      </c>
      <c r="I13" s="6">
        <f>G13*E13</f>
        <v>497.90587500000009</v>
      </c>
      <c r="J13" s="7">
        <f>H13/1000</f>
        <v>2.98743525E-2</v>
      </c>
      <c r="K13" s="7">
        <f>I13/1000</f>
        <v>0.49790587500000011</v>
      </c>
    </row>
    <row r="14" spans="1:11">
      <c r="A14" s="3">
        <v>3</v>
      </c>
      <c r="B14" s="3">
        <v>50</v>
      </c>
      <c r="C14" s="3">
        <v>25</v>
      </c>
      <c r="D14" s="3">
        <v>1.2</v>
      </c>
      <c r="E14" s="3">
        <v>6.1269999999999998</v>
      </c>
      <c r="F14" s="6">
        <f>3.14*(C14/1000/2)*(C14/1000/2)*$A14*3600</f>
        <v>5.2987500000000001</v>
      </c>
      <c r="G14" s="6">
        <f>3.14*(C14/1000/2)*(C14/1000/2)*B14*3600</f>
        <v>88.312500000000014</v>
      </c>
      <c r="H14" s="6">
        <f>F14*E14</f>
        <v>32.465441249999998</v>
      </c>
      <c r="I14" s="6">
        <f>G14*E14</f>
        <v>541.09068750000006</v>
      </c>
      <c r="J14" s="7">
        <f>H14/1000</f>
        <v>3.2465441249999998E-2</v>
      </c>
      <c r="K14" s="7">
        <f>I14/1000</f>
        <v>0.54109068750000011</v>
      </c>
    </row>
    <row r="15" spans="1:11">
      <c r="A15" s="3">
        <v>3</v>
      </c>
      <c r="B15" s="3">
        <v>50</v>
      </c>
      <c r="C15" s="3">
        <v>25</v>
      </c>
      <c r="D15" s="3">
        <v>1.3</v>
      </c>
      <c r="E15" s="3">
        <v>6.617</v>
      </c>
      <c r="F15" s="6">
        <f>3.14*(C15/1000/2)*(C15/1000/2)*$A15*3600</f>
        <v>5.2987500000000001</v>
      </c>
      <c r="G15" s="6">
        <f>3.14*(C15/1000/2)*(C15/1000/2)*B15*3600</f>
        <v>88.312500000000014</v>
      </c>
      <c r="H15" s="6">
        <f>F15*E15</f>
        <v>35.061828750000004</v>
      </c>
      <c r="I15" s="6">
        <f>G15*E15</f>
        <v>584.36381250000011</v>
      </c>
      <c r="J15" s="7">
        <f>H15/1000</f>
        <v>3.5061828750000003E-2</v>
      </c>
      <c r="K15" s="7">
        <f>I15/1000</f>
        <v>0.58436381250000013</v>
      </c>
    </row>
    <row r="16" spans="1:11">
      <c r="A16" s="3">
        <v>3</v>
      </c>
      <c r="B16" s="3">
        <v>50</v>
      </c>
      <c r="C16" s="3">
        <v>25</v>
      </c>
      <c r="D16" s="3">
        <v>1.4</v>
      </c>
      <c r="E16" s="3">
        <v>7.1059999999999999</v>
      </c>
      <c r="F16" s="6">
        <f>3.14*(C16/1000/2)*(C16/1000/2)*$A16*3600</f>
        <v>5.2987500000000001</v>
      </c>
      <c r="G16" s="6">
        <f>3.14*(C16/1000/2)*(C16/1000/2)*B16*3600</f>
        <v>88.312500000000014</v>
      </c>
      <c r="H16" s="6">
        <f>F16*E16</f>
        <v>37.652917500000001</v>
      </c>
      <c r="I16" s="6">
        <f>G16*E16</f>
        <v>627.54862500000013</v>
      </c>
      <c r="J16" s="7">
        <f>H16/1000</f>
        <v>3.7652917500000001E-2</v>
      </c>
      <c r="K16" s="7">
        <f>I16/1000</f>
        <v>0.62754862500000008</v>
      </c>
    </row>
    <row r="17" spans="1:11">
      <c r="A17" s="3">
        <v>3</v>
      </c>
      <c r="B17" s="3">
        <v>50</v>
      </c>
      <c r="C17" s="3">
        <v>25</v>
      </c>
      <c r="D17" s="3">
        <v>1.5</v>
      </c>
      <c r="E17" s="3">
        <v>7.5960000000000001</v>
      </c>
      <c r="F17" s="6">
        <f>3.14*(C17/1000/2)*(C17/1000/2)*$A17*3600</f>
        <v>5.2987500000000001</v>
      </c>
      <c r="G17" s="6">
        <f>3.14*(C17/1000/2)*(C17/1000/2)*B17*3600</f>
        <v>88.312500000000014</v>
      </c>
      <c r="H17" s="6">
        <f>F17*E17</f>
        <v>40.249305</v>
      </c>
      <c r="I17" s="6">
        <f>G17*E17</f>
        <v>670.82175000000007</v>
      </c>
      <c r="J17" s="7">
        <f>H17/1000</f>
        <v>4.0249304999999999E-2</v>
      </c>
      <c r="K17" s="7">
        <f>I17/1000</f>
        <v>0.67082175000000011</v>
      </c>
    </row>
    <row r="18" spans="1:11">
      <c r="A18" s="3">
        <v>3</v>
      </c>
      <c r="B18" s="3">
        <v>50</v>
      </c>
      <c r="C18" s="3">
        <v>25</v>
      </c>
      <c r="D18" s="3">
        <v>1.6</v>
      </c>
      <c r="E18" s="3">
        <v>8.0850000000000009</v>
      </c>
      <c r="F18" s="6">
        <f>3.14*(C18/1000/2)*(C18/1000/2)*$A18*3600</f>
        <v>5.2987500000000001</v>
      </c>
      <c r="G18" s="6">
        <f>3.14*(C18/1000/2)*(C18/1000/2)*B18*3600</f>
        <v>88.312500000000014</v>
      </c>
      <c r="H18" s="6">
        <f>F18*E18</f>
        <v>42.840393750000004</v>
      </c>
      <c r="I18" s="6">
        <f>G18*E18</f>
        <v>714.0065625000002</v>
      </c>
      <c r="J18" s="7">
        <f>H18/1000</f>
        <v>4.2840393750000004E-2</v>
      </c>
      <c r="K18" s="7">
        <f>I18/1000</f>
        <v>0.71400656250000016</v>
      </c>
    </row>
  </sheetData>
  <mergeCells count="3">
    <mergeCell ref="F1:G1"/>
    <mergeCell ref="H1:I1"/>
    <mergeCell ref="J1:K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59b2f41-b7a2-4d29-8988-f4e3425ef689}" enabled="1" method="Privileged" siteId="{556e6b1f-b49d-4278-8baf-db06eeefc8e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Flow_Range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Cahyadi Wardana</cp:lastModifiedBy>
  <dcterms:created xsi:type="dcterms:W3CDTF">2026-06-30T10:52:09Z</dcterms:created>
  <dcterms:modified xsi:type="dcterms:W3CDTF">2026-07-01T10:57:52Z</dcterms:modified>
</cp:coreProperties>
</file>